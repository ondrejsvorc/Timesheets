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imesheets\backend\Timesheets.Api.Tests\TestData\"/>
    </mc:Choice>
  </mc:AlternateContent>
  <xr:revisionPtr revIDLastSave="0" documentId="13_ncr:1_{6D95745F-262D-4010-80F4-13DA24827A10}" xr6:coauthVersionLast="47" xr6:coauthVersionMax="47" xr10:uidLastSave="{00000000-0000-0000-0000-000000000000}"/>
  <bookViews>
    <workbookView xWindow="2340" yWindow="2340" windowWidth="28800" windowHeight="15885" tabRatio="500" xr2:uid="{00000000-000D-0000-FFFF-FFFF00000000}"/>
  </bookViews>
  <sheets>
    <sheet name="Pracovnivykazosoby_2002-2024-1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I35" i="1"/>
  <c r="H35" i="1"/>
  <c r="G35" i="1"/>
  <c r="G36" i="1" s="1"/>
  <c r="J36" i="1" l="1"/>
</calcChain>
</file>

<file path=xl/sharedStrings.xml><?xml version="1.0" encoding="utf-8"?>
<sst xmlns="http://schemas.openxmlformats.org/spreadsheetml/2006/main" count="66" uniqueCount="61">
  <si>
    <t>Den</t>
  </si>
  <si>
    <t>Příchod</t>
  </si>
  <si>
    <t>Odchod</t>
  </si>
  <si>
    <t>Začátek přestávky</t>
  </si>
  <si>
    <t>Konec přestávky</t>
  </si>
  <si>
    <t>Jiné přerušení (úvazek)</t>
  </si>
  <si>
    <t>Celkem od - do bez přestávky na jídlo</t>
  </si>
  <si>
    <t>Denní povinnost v hod</t>
  </si>
  <si>
    <t>Odpracovaný čas v noci (0-6h)</t>
  </si>
  <si>
    <t>Čas - Rozvrhové akce STAG</t>
  </si>
  <si>
    <t>Kdy - Rozvrhové akce STAG</t>
  </si>
  <si>
    <t xml:space="preserve">01.10.2024 Úterý </t>
  </si>
  <si>
    <t>SCT (0)</t>
  </si>
  <si>
    <t xml:space="preserve">02.10.2024 Středa </t>
  </si>
  <si>
    <t xml:space="preserve">03.10.2024 Čtvrtek </t>
  </si>
  <si>
    <t xml:space="preserve">04.10.2024 Pátek </t>
  </si>
  <si>
    <t xml:space="preserve">05.10.2024 Sobota </t>
  </si>
  <si>
    <t xml:space="preserve">06.10.2024 Neděle </t>
  </si>
  <si>
    <t xml:space="preserve">07.10.2024 Pondělí </t>
  </si>
  <si>
    <t xml:space="preserve">08.10.2024 Úterý </t>
  </si>
  <si>
    <t xml:space="preserve">09.10.2024 Středa </t>
  </si>
  <si>
    <t xml:space="preserve">10.10.2024 Čtvrtek </t>
  </si>
  <si>
    <t xml:space="preserve">11.10.2024 Pátek </t>
  </si>
  <si>
    <t xml:space="preserve">12.10.2024 Sobota </t>
  </si>
  <si>
    <t xml:space="preserve">13.10.2024 Neděle </t>
  </si>
  <si>
    <t xml:space="preserve">14.10.2024 Pondělí </t>
  </si>
  <si>
    <t xml:space="preserve">15.10.2024 Úterý </t>
  </si>
  <si>
    <t xml:space="preserve">16.10.2024 Středa </t>
  </si>
  <si>
    <t xml:space="preserve">17.10.2024 Čtvrtek </t>
  </si>
  <si>
    <t xml:space="preserve">18.10.2024 Pátek </t>
  </si>
  <si>
    <t xml:space="preserve">19.10.2024 Sobota </t>
  </si>
  <si>
    <t xml:space="preserve">20.10.2024 Neděle </t>
  </si>
  <si>
    <t xml:space="preserve">21.10.2024 Pondělí </t>
  </si>
  <si>
    <t xml:space="preserve">22.10.2024 Úterý </t>
  </si>
  <si>
    <t xml:space="preserve">23.10.2024 Středa </t>
  </si>
  <si>
    <t xml:space="preserve">24.10.2024 Čtvrtek </t>
  </si>
  <si>
    <t xml:space="preserve">25.10.2024 Pátek </t>
  </si>
  <si>
    <t>NL N (0)</t>
  </si>
  <si>
    <t xml:space="preserve">26.10.2024 Sobota </t>
  </si>
  <si>
    <t xml:space="preserve">27.10.2024 Neděle </t>
  </si>
  <si>
    <t xml:space="preserve">28.10.2024 Pondělí S </t>
  </si>
  <si>
    <t xml:space="preserve">29.10.2024 Úterý </t>
  </si>
  <si>
    <t xml:space="preserve">30.10.2024 Středa </t>
  </si>
  <si>
    <t xml:space="preserve">31.10.2024 Čtvrtek </t>
  </si>
  <si>
    <t> Mezisoučet </t>
  </si>
  <si>
    <t>Odpracováno:</t>
  </si>
  <si>
    <t>Rozdíl (bez STAG):</t>
  </si>
  <si>
    <t>Rozdíl (se STAG):</t>
  </si>
  <si>
    <t>Převod z min. období:</t>
  </si>
  <si>
    <t>Převod do dalšího období:</t>
  </si>
  <si>
    <t>Celkem dní:</t>
  </si>
  <si>
    <t>Dovolená:</t>
  </si>
  <si>
    <t>Celkem nemoc. dní:</t>
  </si>
  <si>
    <t>Celkem svátků:</t>
  </si>
  <si>
    <t>Podpis zaměstnance:</t>
  </si>
  <si>
    <t>Schválil vedoucí:</t>
  </si>
  <si>
    <t>16:00-17:50,</t>
  </si>
  <si>
    <t>09:00-12:50,</t>
  </si>
  <si>
    <t>09:00-12:50, 14:00-15:50,</t>
  </si>
  <si>
    <t>101971 Švorc Ondřej</t>
  </si>
  <si>
    <t>Švorc Ondřej, v období 01.01.2026 - 01.02.2026 č.0 prac. 22250 - 100%;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</si>
</sst>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23" x14ac:knownFonts="1">
    <font>
      <sz val="11"/>
      <color theme="1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24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6" applyNumberFormat="0" applyAlignment="0" applyProtection="0"/>
    <xf numFmtId="0" fontId="14" fillId="7" borderId="7" applyNumberFormat="0" applyAlignment="0" applyProtection="0"/>
    <xf numFmtId="0" fontId="15" fillId="7" borderId="6" applyNumberFormat="0" applyAlignment="0" applyProtection="0"/>
    <xf numFmtId="0" fontId="16" fillId="0" borderId="8" applyNumberFormat="0" applyFill="0" applyAlignment="0" applyProtection="0"/>
    <xf numFmtId="0" fontId="17" fillId="8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9" borderId="10" applyNumberFormat="0" applyFont="0" applyAlignment="0" applyProtection="0"/>
  </cellStyleXfs>
  <cellXfs count="22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0" fontId="5" fillId="0" borderId="1" xfId="0" applyFont="1" applyBorder="1"/>
    <xf numFmtId="0" fontId="0" fillId="0" borderId="2" xfId="0" applyBorder="1"/>
    <xf numFmtId="0" fontId="0" fillId="0" borderId="1" xfId="0" applyBorder="1" applyAlignment="1">
      <alignment horizontal="right" wrapText="1"/>
    </xf>
    <xf numFmtId="0" fontId="1" fillId="0" borderId="1" xfId="41" applyBorder="1" applyAlignment="1">
      <alignment wrapText="1"/>
    </xf>
    <xf numFmtId="0" fontId="22" fillId="0" borderId="1" xfId="41" applyFont="1" applyBorder="1" applyAlignment="1">
      <alignment wrapText="1"/>
    </xf>
    <xf numFmtId="20" fontId="3" fillId="0" borderId="1" xfId="0" applyNumberFormat="1" applyFont="1" applyBorder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</cellXfs>
  <cellStyles count="43">
    <cellStyle name="20 % – Zvýraznění 1" xfId="18" builtinId="30" customBuiltin="1"/>
    <cellStyle name="20 % – Zvýraznění 2" xfId="22" builtinId="34" customBuiltin="1"/>
    <cellStyle name="20 % – Zvýraznění 3" xfId="26" builtinId="38" customBuiltin="1"/>
    <cellStyle name="20 % – Zvýraznění 4" xfId="30" builtinId="42" customBuiltin="1"/>
    <cellStyle name="20 % – Zvýraznění 5" xfId="34" builtinId="46" customBuiltin="1"/>
    <cellStyle name="20 % – Zvýraznění 6" xfId="38" builtinId="50" customBuiltin="1"/>
    <cellStyle name="40 % – Zvýraznění 1" xfId="19" builtinId="31" customBuiltin="1"/>
    <cellStyle name="40 % – Zvýraznění 2" xfId="23" builtinId="35" customBuiltin="1"/>
    <cellStyle name="40 % – Zvýraznění 3" xfId="27" builtinId="39" customBuiltin="1"/>
    <cellStyle name="40 % – Zvýraznění 4" xfId="31" builtinId="43" customBuiltin="1"/>
    <cellStyle name="40 % – Zvýraznění 5" xfId="35" builtinId="47" customBuiltin="1"/>
    <cellStyle name="40 % – Zvýraznění 6" xfId="39" builtinId="51" customBuiltin="1"/>
    <cellStyle name="60 % – Zvýraznění 1" xfId="20" builtinId="32" customBuiltin="1"/>
    <cellStyle name="60 % – Zvýraznění 2" xfId="24" builtinId="36" customBuiltin="1"/>
    <cellStyle name="60 % – Zvýraznění 3" xfId="28" builtinId="40" customBuiltin="1"/>
    <cellStyle name="60 % – Zvýraznění 4" xfId="32" builtinId="44" customBuiltin="1"/>
    <cellStyle name="60 % – Zvýraznění 5" xfId="36" builtinId="48" customBuiltin="1"/>
    <cellStyle name="60 % – Zvýraznění 6" xfId="40" builtinId="52" customBuiltin="1"/>
    <cellStyle name="Celkem" xfId="16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Normální 2" xfId="41" xr:uid="{826A93AA-9544-4865-AC43-8D73504E60D6}"/>
    <cellStyle name="Poznámka 2" xfId="42" xr:uid="{8543FB2C-FE32-4171-8D25-E2EA780133FA}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5" builtinId="53" customBuiltin="1"/>
    <cellStyle name="Zvýraznění 1" xfId="17" builtinId="29" customBuiltin="1"/>
    <cellStyle name="Zvýraznění 2" xfId="21" builtinId="33" customBuiltin="1"/>
    <cellStyle name="Zvýraznění 3" xfId="25" builtinId="37" customBuiltin="1"/>
    <cellStyle name="Zvýraznění 4" xfId="29" builtinId="41" customBuiltin="1"/>
    <cellStyle name="Zvýraznění 5" xfId="33" builtinId="45" customBuiltin="1"/>
    <cellStyle name="Zvýraznění 6" xfId="37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showGridLines="0" tabSelected="1" zoomScale="160" zoomScaleNormal="160" workbookViewId="0">
      <selection activeCell="A3" sqref="A3"/>
    </sheetView>
  </sheetViews>
  <sheetFormatPr defaultColWidth="8.5703125" defaultRowHeight="14.25" customHeight="1" x14ac:dyDescent="0.25"/>
  <cols>
    <col min="1" max="1" width="13.140625" customWidth="1"/>
    <col min="2" max="3" width="5.28515625" customWidth="1"/>
    <col min="4" max="5" width="6.85546875" customWidth="1"/>
    <col min="6" max="6" width="9.7109375" customWidth="1"/>
    <col min="7" max="7" width="10" customWidth="1"/>
    <col min="8" max="9" width="6.85546875" customWidth="1"/>
    <col min="10" max="10" width="22.28515625" customWidth="1"/>
    <col min="11" max="11" width="22.5703125" customWidth="1"/>
  </cols>
  <sheetData>
    <row r="1" spans="1:11" ht="31.5" x14ac:dyDescent="0.5">
      <c r="A1" s="15" t="s">
        <v>59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4.25" customHeight="1" x14ac:dyDescent="0.25">
      <c r="A2" s="16" t="s">
        <v>60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39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</row>
    <row r="4" spans="1:11" ht="15" x14ac:dyDescent="0.25">
      <c r="A4" s="6" t="s">
        <v>11</v>
      </c>
      <c r="B4" s="7">
        <v>0.33333333333333331</v>
      </c>
      <c r="C4" s="7">
        <v>0.29166666666666669</v>
      </c>
      <c r="D4" s="2"/>
      <c r="E4" s="2"/>
      <c r="F4" s="4" t="s">
        <v>12</v>
      </c>
      <c r="G4" s="4">
        <v>8</v>
      </c>
      <c r="H4" s="4">
        <v>8</v>
      </c>
      <c r="I4" s="4">
        <v>0</v>
      </c>
      <c r="J4" s="4">
        <v>0</v>
      </c>
    </row>
    <row r="5" spans="1:11" ht="15" x14ac:dyDescent="0.25">
      <c r="A5" s="6" t="s">
        <v>13</v>
      </c>
      <c r="B5" s="7"/>
      <c r="C5" s="7">
        <v>0.66666666666666663</v>
      </c>
      <c r="D5" s="8">
        <v>0.44791666666666702</v>
      </c>
      <c r="E5" s="8">
        <v>0.46875</v>
      </c>
      <c r="F5" s="2"/>
      <c r="G5" s="4">
        <v>12.08</v>
      </c>
      <c r="H5" s="4">
        <v>8</v>
      </c>
      <c r="I5" s="4">
        <v>0</v>
      </c>
      <c r="J5" s="4">
        <v>0</v>
      </c>
      <c r="K5" s="2"/>
    </row>
    <row r="6" spans="1:11" ht="15" x14ac:dyDescent="0.25">
      <c r="A6" s="6" t="s">
        <v>14</v>
      </c>
      <c r="B6" s="7">
        <v>0.33333333333333331</v>
      </c>
      <c r="C6" s="7"/>
      <c r="D6" s="8">
        <v>0.48958333333333298</v>
      </c>
      <c r="E6" s="8">
        <v>0.51041666666666696</v>
      </c>
      <c r="F6" s="2"/>
      <c r="G6" s="4">
        <v>6.76</v>
      </c>
      <c r="H6" s="4">
        <v>8</v>
      </c>
      <c r="I6" s="4">
        <v>0</v>
      </c>
      <c r="J6" s="4">
        <v>0</v>
      </c>
      <c r="K6" s="2"/>
    </row>
    <row r="7" spans="1:11" ht="15" x14ac:dyDescent="0.25">
      <c r="A7" s="6" t="s">
        <v>15</v>
      </c>
      <c r="B7" s="7">
        <v>0.25</v>
      </c>
      <c r="C7" s="7">
        <v>0.79166666666666663</v>
      </c>
      <c r="D7" s="8">
        <v>0.44791666666666702</v>
      </c>
      <c r="E7" s="8">
        <v>0.46875</v>
      </c>
      <c r="F7" s="2"/>
      <c r="G7" s="4">
        <v>7.37</v>
      </c>
      <c r="H7" s="4">
        <v>8</v>
      </c>
      <c r="I7" s="4">
        <v>0</v>
      </c>
      <c r="J7" s="4">
        <v>0</v>
      </c>
      <c r="K7" s="2"/>
    </row>
    <row r="8" spans="1:11" ht="15" x14ac:dyDescent="0.25">
      <c r="A8" s="9" t="s">
        <v>16</v>
      </c>
      <c r="B8" s="14">
        <v>0.33333333333333331</v>
      </c>
      <c r="C8" s="14">
        <v>0.66666666666666663</v>
      </c>
      <c r="D8" s="2"/>
      <c r="E8" s="2"/>
      <c r="F8" s="2"/>
      <c r="G8" s="4">
        <v>0</v>
      </c>
      <c r="H8" s="4">
        <v>0</v>
      </c>
      <c r="I8" s="4">
        <v>0</v>
      </c>
      <c r="J8" s="4">
        <v>0</v>
      </c>
      <c r="K8" s="2"/>
    </row>
    <row r="9" spans="1:11" ht="15" x14ac:dyDescent="0.25">
      <c r="A9" s="9" t="s">
        <v>17</v>
      </c>
      <c r="B9" s="14">
        <v>0.33333333333333331</v>
      </c>
      <c r="C9" s="14">
        <v>0.66666666666666663</v>
      </c>
      <c r="D9" s="2"/>
      <c r="E9" s="2"/>
      <c r="F9" s="2"/>
      <c r="G9" s="4">
        <v>0</v>
      </c>
      <c r="H9" s="4">
        <v>0</v>
      </c>
      <c r="I9" s="4">
        <v>0</v>
      </c>
    </row>
    <row r="10" spans="1:11" ht="15" x14ac:dyDescent="0.25">
      <c r="A10" s="6" t="s">
        <v>18</v>
      </c>
      <c r="B10" s="7">
        <v>0.33333333333333331</v>
      </c>
      <c r="C10" s="7">
        <v>0.66666666666666663</v>
      </c>
      <c r="D10" s="2"/>
      <c r="E10" s="2"/>
      <c r="F10" s="4" t="s">
        <v>12</v>
      </c>
      <c r="G10" s="4">
        <v>8</v>
      </c>
      <c r="H10" s="4">
        <v>8</v>
      </c>
      <c r="I10" s="4">
        <v>0</v>
      </c>
    </row>
    <row r="11" spans="1:11" ht="15" x14ac:dyDescent="0.25">
      <c r="A11" s="6" t="s">
        <v>19</v>
      </c>
      <c r="B11" s="14">
        <v>0.33333333333333331</v>
      </c>
      <c r="C11" s="14">
        <v>0.66666666666666663</v>
      </c>
      <c r="D11" s="2"/>
      <c r="E11" s="2"/>
      <c r="F11" s="4" t="s">
        <v>12</v>
      </c>
      <c r="G11" s="4">
        <v>8</v>
      </c>
      <c r="H11" s="4">
        <v>8</v>
      </c>
      <c r="I11" s="4">
        <v>0</v>
      </c>
      <c r="J11" s="12"/>
      <c r="K11" s="2"/>
    </row>
    <row r="12" spans="1:11" ht="15" x14ac:dyDescent="0.25">
      <c r="A12" s="6" t="s">
        <v>20</v>
      </c>
      <c r="B12" s="7">
        <v>0.33333333333333331</v>
      </c>
      <c r="C12" s="7">
        <v>0.625</v>
      </c>
      <c r="D12" s="2"/>
      <c r="E12" s="2"/>
      <c r="F12" s="4" t="s">
        <v>12</v>
      </c>
      <c r="G12" s="4">
        <v>8.41</v>
      </c>
      <c r="H12" s="4">
        <v>8</v>
      </c>
      <c r="I12" s="4">
        <v>0</v>
      </c>
      <c r="J12" s="12"/>
      <c r="K12" s="2"/>
    </row>
    <row r="13" spans="1:11" ht="15" x14ac:dyDescent="0.25">
      <c r="A13" s="6" t="s">
        <v>21</v>
      </c>
      <c r="B13" s="7">
        <v>0.33333333333333331</v>
      </c>
      <c r="C13" s="7">
        <v>0.66666666666666663</v>
      </c>
      <c r="D13" s="8">
        <v>0.44791666666666702</v>
      </c>
      <c r="E13" s="8">
        <v>0.46875</v>
      </c>
      <c r="F13" s="2"/>
      <c r="G13" s="4">
        <v>11.05</v>
      </c>
      <c r="H13" s="4">
        <v>8</v>
      </c>
      <c r="I13" s="4">
        <v>0</v>
      </c>
      <c r="J13" s="12"/>
      <c r="K13" s="2"/>
    </row>
    <row r="14" spans="1:11" ht="15" x14ac:dyDescent="0.25">
      <c r="A14" s="6" t="s">
        <v>22</v>
      </c>
      <c r="B14" s="7">
        <v>0.875</v>
      </c>
      <c r="C14" s="7">
        <v>0.9375</v>
      </c>
      <c r="D14" s="8">
        <v>0.44791666666666702</v>
      </c>
      <c r="E14" s="8">
        <v>0.46875</v>
      </c>
      <c r="F14" s="2"/>
      <c r="G14" s="4">
        <v>10.3</v>
      </c>
      <c r="H14" s="4">
        <v>8</v>
      </c>
      <c r="I14" s="4">
        <v>0</v>
      </c>
      <c r="J14" s="12"/>
      <c r="K14" s="2"/>
    </row>
    <row r="15" spans="1:11" ht="15" x14ac:dyDescent="0.25">
      <c r="A15" s="9" t="s">
        <v>23</v>
      </c>
      <c r="B15" s="14">
        <v>0.91666666666666663</v>
      </c>
      <c r="C15" s="14">
        <v>0.29166666666666669</v>
      </c>
      <c r="D15" s="2"/>
      <c r="E15" s="2"/>
      <c r="F15" s="2"/>
      <c r="G15" s="4">
        <v>0</v>
      </c>
      <c r="H15" s="4">
        <v>0</v>
      </c>
      <c r="I15" s="4">
        <v>0</v>
      </c>
      <c r="J15" s="12"/>
      <c r="K15" s="2"/>
    </row>
    <row r="16" spans="1:11" ht="15" x14ac:dyDescent="0.25">
      <c r="A16" s="9" t="s">
        <v>24</v>
      </c>
      <c r="B16" s="1"/>
      <c r="C16" s="1"/>
      <c r="D16" s="2"/>
      <c r="E16" s="2"/>
      <c r="F16" s="2"/>
      <c r="G16" s="4">
        <v>0</v>
      </c>
      <c r="H16" s="4">
        <v>0</v>
      </c>
      <c r="I16" s="4">
        <v>0</v>
      </c>
      <c r="J16" s="12"/>
      <c r="K16" s="2"/>
    </row>
    <row r="17" spans="1:11" ht="15" x14ac:dyDescent="0.25">
      <c r="A17" s="6" t="s">
        <v>25</v>
      </c>
      <c r="B17" s="7">
        <v>0.242361111111111</v>
      </c>
      <c r="C17" s="7">
        <v>0.68402777777777801</v>
      </c>
      <c r="D17" s="8">
        <v>0.40625</v>
      </c>
      <c r="E17" s="8">
        <v>0.42708333333333298</v>
      </c>
      <c r="F17" s="2"/>
      <c r="G17" s="4">
        <v>10.1</v>
      </c>
      <c r="H17" s="4">
        <v>8</v>
      </c>
      <c r="I17" s="4">
        <v>0.17</v>
      </c>
      <c r="K17" s="13" t="s">
        <v>57</v>
      </c>
    </row>
    <row r="18" spans="1:11" ht="15" x14ac:dyDescent="0.25">
      <c r="A18" s="6" t="s">
        <v>26</v>
      </c>
      <c r="B18" s="7">
        <v>0.25277777777777799</v>
      </c>
      <c r="C18" s="7">
        <v>0.655555555555556</v>
      </c>
      <c r="D18" s="8">
        <v>0.44791666666666702</v>
      </c>
      <c r="E18" s="8">
        <v>0.46875</v>
      </c>
      <c r="F18" s="2"/>
      <c r="G18" s="4">
        <v>9.16</v>
      </c>
      <c r="H18" s="4">
        <v>8</v>
      </c>
      <c r="I18" s="4">
        <v>0</v>
      </c>
      <c r="J18" s="12"/>
      <c r="K18" s="2"/>
    </row>
    <row r="19" spans="1:11" ht="15" x14ac:dyDescent="0.25">
      <c r="A19" s="6" t="s">
        <v>27</v>
      </c>
      <c r="B19" s="7">
        <v>0.26388888888888901</v>
      </c>
      <c r="C19" s="7">
        <v>0.59513888888888899</v>
      </c>
      <c r="D19" s="8">
        <v>0.44791666666666702</v>
      </c>
      <c r="E19" s="8">
        <v>0.46875</v>
      </c>
      <c r="F19" s="2"/>
      <c r="G19" s="4">
        <v>7.45</v>
      </c>
      <c r="H19" s="4">
        <v>8</v>
      </c>
      <c r="I19" s="4">
        <v>0</v>
      </c>
      <c r="J19" s="12"/>
      <c r="K19" s="13" t="s">
        <v>56</v>
      </c>
    </row>
    <row r="20" spans="1:11" ht="15" x14ac:dyDescent="0.25">
      <c r="A20" s="6" t="s">
        <v>28</v>
      </c>
      <c r="B20" s="7">
        <v>0.328472222222222</v>
      </c>
      <c r="C20" s="7">
        <v>0.62152777777777801</v>
      </c>
      <c r="D20" s="8">
        <v>0.48958333333333298</v>
      </c>
      <c r="E20" s="8">
        <v>0.51041666666666696</v>
      </c>
      <c r="F20" s="2"/>
      <c r="G20" s="4">
        <v>6.54</v>
      </c>
      <c r="H20" s="4">
        <v>8</v>
      </c>
      <c r="I20" s="4">
        <v>0</v>
      </c>
      <c r="J20" s="12"/>
      <c r="K20" s="13" t="s">
        <v>57</v>
      </c>
    </row>
    <row r="21" spans="1:11" ht="15" x14ac:dyDescent="0.25">
      <c r="A21" s="6" t="s">
        <v>29</v>
      </c>
      <c r="B21" s="7">
        <v>0.26041666666666702</v>
      </c>
      <c r="C21" s="7">
        <v>0.63124999999999998</v>
      </c>
      <c r="D21" s="8">
        <v>0.44791666666666702</v>
      </c>
      <c r="E21" s="8">
        <v>0.46875</v>
      </c>
      <c r="F21" s="2"/>
      <c r="G21" s="4">
        <v>8.41</v>
      </c>
      <c r="H21" s="4">
        <v>8</v>
      </c>
      <c r="I21" s="4">
        <v>0</v>
      </c>
      <c r="J21" s="12"/>
      <c r="K21" s="2"/>
    </row>
    <row r="22" spans="1:11" ht="15" x14ac:dyDescent="0.25">
      <c r="A22" s="9" t="s">
        <v>30</v>
      </c>
      <c r="B22" s="1"/>
      <c r="C22" s="1"/>
      <c r="D22" s="2"/>
      <c r="E22" s="2"/>
      <c r="F22" s="2"/>
      <c r="G22" s="4">
        <v>0</v>
      </c>
      <c r="H22" s="4">
        <v>0</v>
      </c>
      <c r="I22" s="4">
        <v>0</v>
      </c>
      <c r="K22" s="13" t="s">
        <v>58</v>
      </c>
    </row>
    <row r="23" spans="1:11" ht="15" x14ac:dyDescent="0.25">
      <c r="A23" s="9" t="s">
        <v>31</v>
      </c>
      <c r="B23" s="1"/>
      <c r="C23" s="1"/>
      <c r="D23" s="2"/>
      <c r="E23" s="2"/>
      <c r="F23" s="2"/>
      <c r="G23" s="4">
        <v>0</v>
      </c>
      <c r="H23" s="4">
        <v>0</v>
      </c>
      <c r="I23" s="4">
        <v>0</v>
      </c>
      <c r="J23" s="4">
        <v>0</v>
      </c>
      <c r="K23" s="2"/>
    </row>
    <row r="24" spans="1:11" ht="15" x14ac:dyDescent="0.25">
      <c r="A24" s="6" t="s">
        <v>32</v>
      </c>
      <c r="B24" s="7">
        <v>0.26319444444444401</v>
      </c>
      <c r="C24" s="7">
        <v>0.66249999999999998</v>
      </c>
      <c r="D24" s="8">
        <v>0.44791666666666702</v>
      </c>
      <c r="E24" s="8">
        <v>0.46875</v>
      </c>
      <c r="F24" s="2"/>
      <c r="G24" s="4">
        <v>9.08</v>
      </c>
      <c r="H24" s="4">
        <v>8</v>
      </c>
      <c r="I24" s="4">
        <v>0</v>
      </c>
      <c r="J24" s="4">
        <v>0</v>
      </c>
      <c r="K24" s="2"/>
    </row>
    <row r="25" spans="1:11" ht="15" x14ac:dyDescent="0.25">
      <c r="A25" s="6" t="s">
        <v>33</v>
      </c>
      <c r="B25" s="7">
        <v>0.30138888888888898</v>
      </c>
      <c r="C25" s="7">
        <v>0.65208333333333302</v>
      </c>
      <c r="D25" s="8">
        <v>0.48958333333333298</v>
      </c>
      <c r="E25" s="8">
        <v>0.51041666666666696</v>
      </c>
      <c r="F25" s="2"/>
      <c r="G25" s="4">
        <v>7.92</v>
      </c>
      <c r="H25" s="4">
        <v>8</v>
      </c>
      <c r="I25" s="4">
        <v>0</v>
      </c>
      <c r="J25" s="4">
        <v>0</v>
      </c>
      <c r="K25" s="13" t="s">
        <v>56</v>
      </c>
    </row>
    <row r="26" spans="1:11" ht="15" x14ac:dyDescent="0.25">
      <c r="A26" s="6" t="s">
        <v>34</v>
      </c>
      <c r="B26" s="7">
        <v>0.25694444444444497</v>
      </c>
      <c r="C26" s="7">
        <v>0.76319444444444395</v>
      </c>
      <c r="D26" s="8">
        <v>0.44791666666666702</v>
      </c>
      <c r="E26" s="8">
        <v>0.46875</v>
      </c>
      <c r="F26" s="2"/>
      <c r="G26" s="4">
        <v>11.65</v>
      </c>
      <c r="H26" s="4">
        <v>8</v>
      </c>
      <c r="I26" s="4">
        <v>0</v>
      </c>
      <c r="J26" s="4">
        <v>0</v>
      </c>
      <c r="K26" s="2"/>
    </row>
    <row r="27" spans="1:11" ht="15" x14ac:dyDescent="0.25">
      <c r="A27" s="6" t="s">
        <v>35</v>
      </c>
      <c r="B27" s="7">
        <v>0.33402777777777798</v>
      </c>
      <c r="C27" s="7">
        <v>0.67569444444444404</v>
      </c>
      <c r="D27" s="8">
        <v>0.53125</v>
      </c>
      <c r="E27" s="8">
        <v>0.55208333333333304</v>
      </c>
      <c r="F27" s="2"/>
      <c r="G27" s="4">
        <v>7.71</v>
      </c>
      <c r="H27" s="4">
        <v>8</v>
      </c>
      <c r="I27" s="4">
        <v>0</v>
      </c>
      <c r="J27" s="4">
        <v>0</v>
      </c>
      <c r="K27" s="2"/>
    </row>
    <row r="28" spans="1:11" ht="15" x14ac:dyDescent="0.25">
      <c r="A28" s="6" t="s">
        <v>36</v>
      </c>
      <c r="B28" s="1"/>
      <c r="C28" s="1"/>
      <c r="D28" s="2"/>
      <c r="E28" s="2"/>
      <c r="F28" s="4" t="s">
        <v>37</v>
      </c>
      <c r="G28" s="4">
        <v>8</v>
      </c>
      <c r="H28" s="4">
        <v>8</v>
      </c>
      <c r="I28" s="4">
        <v>0</v>
      </c>
      <c r="J28" s="4">
        <v>0</v>
      </c>
      <c r="K28" s="2"/>
    </row>
    <row r="29" spans="1:11" ht="15" x14ac:dyDescent="0.25">
      <c r="A29" s="9" t="s">
        <v>38</v>
      </c>
      <c r="B29" s="1"/>
      <c r="C29" s="1"/>
      <c r="D29" s="2"/>
      <c r="E29" s="2"/>
      <c r="F29" s="2"/>
      <c r="G29" s="4">
        <v>0</v>
      </c>
      <c r="H29" s="4">
        <v>0</v>
      </c>
      <c r="I29" s="4">
        <v>0</v>
      </c>
      <c r="J29" s="4">
        <v>0</v>
      </c>
      <c r="K29" s="2"/>
    </row>
    <row r="30" spans="1:11" ht="15" x14ac:dyDescent="0.25">
      <c r="A30" s="9" t="s">
        <v>39</v>
      </c>
      <c r="B30" s="1"/>
      <c r="C30" s="1"/>
      <c r="D30" s="2"/>
      <c r="E30" s="2"/>
      <c r="F30" s="2"/>
      <c r="G30" s="4">
        <v>0</v>
      </c>
      <c r="H30" s="4">
        <v>0</v>
      </c>
      <c r="I30" s="4">
        <v>0</v>
      </c>
      <c r="J30" s="4">
        <v>0</v>
      </c>
      <c r="K30" s="2"/>
    </row>
    <row r="31" spans="1:11" ht="15" x14ac:dyDescent="0.25">
      <c r="A31" s="9" t="s">
        <v>40</v>
      </c>
      <c r="B31" s="1"/>
      <c r="C31" s="1"/>
      <c r="D31" s="2"/>
      <c r="E31" s="2"/>
      <c r="F31" s="2"/>
      <c r="G31" s="4">
        <v>0</v>
      </c>
      <c r="H31" s="4">
        <v>0</v>
      </c>
      <c r="I31" s="4">
        <v>0</v>
      </c>
      <c r="J31" s="4">
        <v>0</v>
      </c>
      <c r="K31" s="2"/>
    </row>
    <row r="32" spans="1:11" ht="15" x14ac:dyDescent="0.25">
      <c r="A32" s="6" t="s">
        <v>41</v>
      </c>
      <c r="B32" s="7">
        <v>0.26805555555555599</v>
      </c>
      <c r="C32" s="7">
        <v>0.59375</v>
      </c>
      <c r="D32" s="8">
        <v>0.44791666666666702</v>
      </c>
      <c r="E32" s="8">
        <v>0.46875</v>
      </c>
      <c r="F32" s="2"/>
      <c r="G32" s="4">
        <v>7.31</v>
      </c>
      <c r="H32" s="4">
        <v>8</v>
      </c>
      <c r="I32" s="4">
        <v>0</v>
      </c>
      <c r="J32" s="4">
        <v>0</v>
      </c>
      <c r="K32" s="2"/>
    </row>
    <row r="33" spans="1:11" ht="15" x14ac:dyDescent="0.25">
      <c r="A33" s="6" t="s">
        <v>42</v>
      </c>
      <c r="B33" s="7">
        <v>0.27638888888888902</v>
      </c>
      <c r="C33" s="7">
        <v>0.65</v>
      </c>
      <c r="D33" s="8">
        <v>0.44791666666666702</v>
      </c>
      <c r="E33" s="8">
        <v>0.46875</v>
      </c>
      <c r="F33" s="2"/>
      <c r="G33" s="4">
        <v>8.4600000000000009</v>
      </c>
      <c r="H33" s="4">
        <v>8</v>
      </c>
      <c r="I33" s="4">
        <v>0</v>
      </c>
      <c r="J33" s="4">
        <v>0</v>
      </c>
      <c r="K33" s="2"/>
    </row>
    <row r="34" spans="1:11" ht="15" x14ac:dyDescent="0.25">
      <c r="A34" s="6" t="s">
        <v>43</v>
      </c>
      <c r="B34" s="7">
        <v>0.72569444444444497</v>
      </c>
      <c r="C34" s="7">
        <v>0.72708333333333297</v>
      </c>
      <c r="D34" s="2"/>
      <c r="E34" s="2"/>
      <c r="F34" s="2"/>
      <c r="G34" s="4">
        <v>0.05</v>
      </c>
      <c r="H34" s="4">
        <v>8</v>
      </c>
      <c r="I34" s="4">
        <v>0</v>
      </c>
      <c r="J34" s="4">
        <v>0</v>
      </c>
      <c r="K34" s="2"/>
    </row>
    <row r="35" spans="1:11" ht="14.25" customHeight="1" x14ac:dyDescent="0.25">
      <c r="A35" s="17" t="s">
        <v>44</v>
      </c>
      <c r="B35" s="17"/>
      <c r="C35" s="17"/>
      <c r="D35" s="17"/>
      <c r="E35" s="18" t="s">
        <v>45</v>
      </c>
      <c r="F35" s="18"/>
      <c r="G35" s="3">
        <f>+G4+G5+G6+G7+G8+G9+G10+G11+G12+G13+G14+G15+G16+G17+G18+G19+G20+G21+G22+G23+G24+G25+G26+G27+G28+G29+G30+G31+G32+G33+G34</f>
        <v>181.81</v>
      </c>
      <c r="H35" s="3">
        <f>+H4+H5+H6+H7+H8+H9+H10+H11+H12+H13+H14+H15+H16+H17+H18+H19+H20+H21+H22+H23+H24+H25+H26+H27+H28+H29+H30+H31+H32+H33+H34</f>
        <v>176</v>
      </c>
      <c r="I35" s="1">
        <f>+I4+I5+I6+I7+I8+I9+I10+I11+I12+I13+I14+I15+I16+I17+I18+I19+I20+I21+I22+I23+I24+I25+I26+I27+I28+I29+I30+I31+I32+I33+I34</f>
        <v>0.17</v>
      </c>
      <c r="J35" s="1" t="e">
        <f>+J4+J5+J6+J7+J8+K19+K20+J11+J12+J13+J14+J15+J16+K17+J18+J19+J20+J21+K22+J23+J24+J25+J26+J27+J28+J29+J30+J31+J32+J33+J34</f>
        <v>#VALUE!</v>
      </c>
      <c r="K35" s="10"/>
    </row>
    <row r="36" spans="1:11" ht="27" customHeight="1" x14ac:dyDescent="0.25">
      <c r="A36" s="19"/>
      <c r="B36" s="19"/>
      <c r="C36" s="19"/>
      <c r="D36" s="19"/>
      <c r="E36" s="18" t="s">
        <v>46</v>
      </c>
      <c r="F36" s="18"/>
      <c r="G36" s="4">
        <f>G35-H35</f>
        <v>5.8100000000000023</v>
      </c>
      <c r="H36" s="18" t="s">
        <v>47</v>
      </c>
      <c r="I36" s="18"/>
      <c r="J36" s="4" t="e">
        <f>G36 + J35</f>
        <v>#VALUE!</v>
      </c>
      <c r="K36" s="10"/>
    </row>
    <row r="37" spans="1:11" ht="27" customHeight="1" x14ac:dyDescent="0.25">
      <c r="A37" s="19"/>
      <c r="B37" s="19"/>
      <c r="C37" s="19"/>
      <c r="D37" s="19"/>
      <c r="E37" s="18" t="s">
        <v>48</v>
      </c>
      <c r="F37" s="18"/>
      <c r="G37" s="11"/>
      <c r="H37" s="19"/>
      <c r="I37" s="19"/>
      <c r="J37" s="19"/>
      <c r="K37" s="19"/>
    </row>
    <row r="38" spans="1:11" ht="27" customHeight="1" x14ac:dyDescent="0.25">
      <c r="A38" s="19"/>
      <c r="B38" s="19"/>
      <c r="C38" s="19"/>
      <c r="D38" s="19"/>
      <c r="E38" s="18" t="s">
        <v>49</v>
      </c>
      <c r="F38" s="18"/>
      <c r="G38" s="11"/>
      <c r="H38" s="19"/>
      <c r="I38" s="19"/>
      <c r="J38" s="19"/>
      <c r="K38" s="19"/>
    </row>
    <row r="39" spans="1:11" ht="14.25" customHeight="1" x14ac:dyDescent="0.25">
      <c r="A39" s="21" t="s">
        <v>50</v>
      </c>
      <c r="B39" s="21"/>
      <c r="C39" s="4">
        <v>22</v>
      </c>
      <c r="D39" s="19"/>
      <c r="E39" s="19"/>
      <c r="F39" s="19"/>
      <c r="G39" s="19"/>
      <c r="H39" s="19"/>
      <c r="I39" s="19"/>
      <c r="J39" s="19"/>
      <c r="K39" s="19"/>
    </row>
    <row r="40" spans="1:11" ht="14.25" customHeight="1" x14ac:dyDescent="0.25">
      <c r="A40" s="21" t="s">
        <v>51</v>
      </c>
      <c r="B40" s="21"/>
      <c r="C40" s="4">
        <v>0</v>
      </c>
      <c r="D40" s="19"/>
      <c r="E40" s="19"/>
      <c r="F40" s="19"/>
      <c r="G40" s="19"/>
      <c r="H40" s="19"/>
      <c r="I40" s="19"/>
      <c r="J40" s="19"/>
      <c r="K40" s="19"/>
    </row>
    <row r="41" spans="1:11" ht="14.25" customHeight="1" x14ac:dyDescent="0.25">
      <c r="A41" s="21" t="s">
        <v>52</v>
      </c>
      <c r="B41" s="21"/>
      <c r="C41" s="4">
        <v>0</v>
      </c>
      <c r="D41" s="19"/>
      <c r="E41" s="19"/>
      <c r="F41" s="19"/>
      <c r="G41" s="19"/>
      <c r="H41" s="19"/>
      <c r="I41" s="19"/>
      <c r="J41" s="19"/>
      <c r="K41" s="19"/>
    </row>
    <row r="42" spans="1:11" ht="14.25" customHeight="1" x14ac:dyDescent="0.25">
      <c r="A42" s="21" t="s">
        <v>53</v>
      </c>
      <c r="B42" s="21"/>
      <c r="C42" s="4">
        <v>1</v>
      </c>
      <c r="D42" s="19"/>
      <c r="E42" s="19"/>
      <c r="F42" s="19"/>
      <c r="G42" s="19"/>
      <c r="H42" s="19"/>
      <c r="I42" s="19"/>
      <c r="J42" s="19"/>
      <c r="K42" s="19"/>
    </row>
    <row r="43" spans="1:11" ht="14.25" customHeight="1" x14ac:dyDescent="0.25">
      <c r="A43" s="17" t="s">
        <v>54</v>
      </c>
      <c r="B43" s="17"/>
      <c r="C43" s="17"/>
      <c r="D43" s="17"/>
      <c r="E43" s="17"/>
      <c r="F43" s="20" t="s">
        <v>55</v>
      </c>
      <c r="G43" s="20"/>
      <c r="H43" s="20"/>
      <c r="I43" s="20"/>
      <c r="J43" s="20"/>
      <c r="K43" s="20"/>
    </row>
  </sheetData>
  <mergeCells count="20">
    <mergeCell ref="A43:E43"/>
    <mergeCell ref="F43:K43"/>
    <mergeCell ref="A39:B39"/>
    <mergeCell ref="D39:G42"/>
    <mergeCell ref="H39:K42"/>
    <mergeCell ref="A40:B40"/>
    <mergeCell ref="A41:B41"/>
    <mergeCell ref="A42:B42"/>
    <mergeCell ref="A37:D37"/>
    <mergeCell ref="E37:F37"/>
    <mergeCell ref="H37:K38"/>
    <mergeCell ref="A38:D38"/>
    <mergeCell ref="E38:F38"/>
    <mergeCell ref="A1:K1"/>
    <mergeCell ref="A2:K2"/>
    <mergeCell ref="A35:D35"/>
    <mergeCell ref="E35:F35"/>
    <mergeCell ref="A36:D36"/>
    <mergeCell ref="E36:F36"/>
    <mergeCell ref="H36:I36"/>
  </mergeCells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Pracovnivykazosoby_2002-2024-11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Pracovní výkaz osoby: 2002 - 2024-11 - 01.10.2024 - 01.11.2024</dc:title>
  <dc:subject/>
  <dc:creator>KremlikovaS</dc:creator>
  <dc:description/>
  <cp:lastModifiedBy>Ondřej Švorc</cp:lastModifiedBy>
  <cp:revision>1</cp:revision>
  <dcterms:created xsi:type="dcterms:W3CDTF">2024-11-08T13:48:42Z</dcterms:created>
  <dcterms:modified xsi:type="dcterms:W3CDTF">2026-06-09T07:51:13Z</dcterms:modified>
  <dc:language>en-GB</dc:language>
</cp:coreProperties>
</file>